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wnloads\CLAUDE CODE\P01_Geospatial Delivery performance\DAY_3\"/>
    </mc:Choice>
  </mc:AlternateContent>
  <bookViews>
    <workbookView xWindow="0" yWindow="0" windowWidth="25200" windowHeight="11385" activeTab="2"/>
  </bookViews>
  <sheets>
    <sheet name="Executive Summary" sheetId="1" r:id="rId1"/>
    <sheet name="CoG Model Detail" sheetId="2" r:id="rId2"/>
    <sheet name="Cost Saving Model" sheetId="3" r:id="rId3"/>
  </sheets>
  <calcPr calcId="0"/>
</workbook>
</file>

<file path=xl/sharedStrings.xml><?xml version="1.0" encoding="utf-8"?>
<sst xmlns="http://schemas.openxmlformats.org/spreadsheetml/2006/main" count="78" uniqueCount="62">
  <si>
    <t>WAREHOUSE LOCATION OPTIMISATION  —  BUSINESS CASE</t>
  </si>
  <si>
    <t>Centre-of-Gravity Model  |  Top 5 High-Delay Regions  |  Team 4: Bhawna Kaushik &amp; Sai Raja  |  Purple Merit</t>
  </si>
  <si>
    <t>Rank</t>
  </si>
  <si>
    <t>State</t>
  </si>
  <si>
    <t>Code</t>
  </si>
  <si>
    <t>Optimal
Lat</t>
  </si>
  <si>
    <t>Optimal
Lng</t>
  </si>
  <si>
    <t>Current Avg
Delivery (days)</t>
  </si>
  <si>
    <t>Projected Avg
Delivery (days)</t>
  </si>
  <si>
    <t>Delivery
Reduction %</t>
  </si>
  <si>
    <t>Current
Delay Rate %</t>
  </si>
  <si>
    <t>Total Orders
(Dataset)</t>
  </si>
  <si>
    <t>Orders /
Month</t>
  </si>
  <si>
    <t>Delayed Prevented
/ Month</t>
  </si>
  <si>
    <t>Monthly Saving
(Rs.)</t>
  </si>
  <si>
    <t>Annual Saving
(Rs.)</t>
  </si>
  <si>
    <t>Alagoas</t>
  </si>
  <si>
    <t>AL</t>
  </si>
  <si>
    <t>55.2%</t>
  </si>
  <si>
    <t>23.7%</t>
  </si>
  <si>
    <t>Maranhão</t>
  </si>
  <si>
    <t>MA</t>
  </si>
  <si>
    <t>48.6%</t>
  </si>
  <si>
    <t>19.2%</t>
  </si>
  <si>
    <t>Sergipe</t>
  </si>
  <si>
    <t>SE</t>
  </si>
  <si>
    <t>48.9%</t>
  </si>
  <si>
    <t>15.3%</t>
  </si>
  <si>
    <t>Piauí</t>
  </si>
  <si>
    <t>PI</t>
  </si>
  <si>
    <t>43.4%</t>
  </si>
  <si>
    <t>15.2%</t>
  </si>
  <si>
    <t>Ceará</t>
  </si>
  <si>
    <t>CE</t>
  </si>
  <si>
    <t>48.2%</t>
  </si>
  <si>
    <t>14.9%</t>
  </si>
  <si>
    <t>TOTAL ANNUAL SAVING  —  ALL 5 WAREHOUSES COMBINED</t>
  </si>
  <si>
    <t>Centre-of-Gravity Model  —  Calculation Detail</t>
  </si>
  <si>
    <t>Formula:  Opt_Lat = sum(demand_i x lat_i) / sum(demand_i)  |  Opt_Lng = sum(demand_i x lng_i) / sum(demand_i)  |  demand_i = order_count per zip code</t>
  </si>
  <si>
    <t>Zip Codes
in Region</t>
  </si>
  <si>
    <t>Total Demand
(Orders)</t>
  </si>
  <si>
    <t>CoG Latitude</t>
  </si>
  <si>
    <t>CoG Longitude</t>
  </si>
  <si>
    <t>Avg Delivery
Current (days)</t>
  </si>
  <si>
    <t>Avg Delivery
Projected (days)</t>
  </si>
  <si>
    <t>Avg Delay Days
(Delayed Orders)</t>
  </si>
  <si>
    <t>Cost Saving Model  —  Assumptions &amp; Monthly Breakdown</t>
  </si>
  <si>
    <t>Cost Proxy</t>
  </si>
  <si>
    <t>Rs. 50 per delayed order per day of delay</t>
  </si>
  <si>
    <t>National Delay Rate</t>
  </si>
  <si>
    <t>8.4%  (post-warehouse benchmark)</t>
  </si>
  <si>
    <t>Projected Delivery</t>
  </si>
  <si>
    <t>11.0 days  (median of 'Good' delivery zone)</t>
  </si>
  <si>
    <t>Dataset Duration</t>
  </si>
  <si>
    <t>23.4 months  (Sep 2016 – Oct 2018)</t>
  </si>
  <si>
    <t>Saving Formula</t>
  </si>
  <si>
    <t>Monthly Saving = Prevented_Delayed/Month  x  Rs.50  x  Avg_Delay_Days</t>
  </si>
  <si>
    <t>Current
Delayed / Mo</t>
  </si>
  <si>
    <t>Projected
Delayed / Mo</t>
  </si>
  <si>
    <t>Prevented
Delayed / Mo</t>
  </si>
  <si>
    <t>Annual
Saving (Rs.)</t>
  </si>
  <si>
    <t>TOTAL ANNUAL SAVING (ALL 5 WAREHOUSES)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</si>
</sst>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b/>
      <sz val="15"/>
      <color rgb="FFD4AC0D"/>
      <name val="Calibri"/>
    </font>
    <font>
      <sz val="9"/>
      <color rgb="FFC39BD3"/>
      <name val="Calibri"/>
    </font>
    <font>
      <b/>
      <sz val="9"/>
      <color rgb="FFD4AC0D"/>
      <name val="Calibri"/>
    </font>
    <font>
      <b/>
      <sz val="10"/>
      <color rgb="FF1C1C1C"/>
      <name val="Calibri"/>
    </font>
    <font>
      <sz val="10"/>
      <color rgb="FF1C1C1C"/>
      <name val="Calibri"/>
    </font>
    <font>
      <sz val="10"/>
      <color rgb="FFC0392B"/>
      <name val="Calibri"/>
    </font>
    <font>
      <sz val="10"/>
      <color rgb="FF1E8449"/>
      <name val="Calibri"/>
    </font>
    <font>
      <sz val="10"/>
      <color rgb="FF117A65"/>
      <name val="Calibri"/>
    </font>
    <font>
      <b/>
      <sz val="10"/>
      <color rgb="FFD35400"/>
      <name val="Calibri"/>
    </font>
    <font>
      <b/>
      <sz val="11"/>
      <color rgb="FFD4AC0D"/>
      <name val="Calibri"/>
    </font>
    <font>
      <b/>
      <sz val="13"/>
      <color rgb="FF1A2744"/>
      <name val="Calibri"/>
    </font>
    <font>
      <b/>
      <sz val="14"/>
      <color rgb="FFD4AC0D"/>
      <name val="Calibri"/>
    </font>
    <font>
      <sz val="8.5"/>
      <color rgb="FFC39BD3"/>
      <name val="Calibri"/>
    </font>
    <font>
      <b/>
      <sz val="9.5"/>
      <color rgb="FFD4AC0D"/>
      <name val="Calibri"/>
    </font>
    <font>
      <b/>
      <sz val="9.5"/>
      <color rgb="FF1C1C1C"/>
      <name val="Calibri"/>
    </font>
    <font>
      <sz val="9.5"/>
      <color rgb="FF1C1C1C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5B2C6F"/>
      </patternFill>
    </fill>
    <fill>
      <patternFill patternType="solid">
        <fgColor rgb="FFFFF2CC"/>
      </patternFill>
    </fill>
    <fill>
      <patternFill patternType="solid">
        <fgColor rgb="FFFCE8E6"/>
      </patternFill>
    </fill>
    <fill>
      <patternFill patternType="solid">
        <fgColor rgb="FFEBF5FB"/>
      </patternFill>
    </fill>
    <fill>
      <patternFill patternType="solid">
        <fgColor rgb="FFE9F7EF"/>
      </patternFill>
    </fill>
    <fill>
      <patternFill patternType="solid">
        <fgColor rgb="FFF5EEF8"/>
      </patternFill>
    </fill>
    <fill>
      <patternFill patternType="solid">
        <fgColor rgb="FFD4AC0D"/>
      </patternFill>
    </fill>
    <fill>
      <patternFill patternType="solid">
        <fgColor rgb="FFFFFFFF"/>
      </patternFill>
    </fill>
    <fill>
      <patternFill patternType="solid">
        <fgColor rgb="FFF4F6F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left" vertical="center"/>
    </xf>
    <xf numFmtId="0" fontId="9" fillId="11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/>
    <xf numFmtId="0" fontId="10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10"/>
  <c:chart>
    <c:title>
      <c:tx>
        <c:rich>
          <a:bodyPr/>
          <a:lstStyle/>
          <a:p>
            <a:pPr>
              <a:defRPr sz="1600"/>
            </a:pPr>
            <a:r>
              <a:rPr lang="en-US" sz="1600"/>
              <a:t>Annual Cost Saving by Warehouse Location (Rs.)</a:t>
            </a: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6.5263888888888885E-2"/>
          <c:y val="0.13229166666666667"/>
          <c:w val="0.80390027777777773"/>
          <c:h val="0.78539351851851846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'Executive Summary'!$N$4</c:f>
              <c:strCache>
                <c:ptCount val="1"/>
                <c:pt idx="0">
                  <c:v>Annual Saving
(Rs.)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'Executive Summary'!$B$5:$B$9</c:f>
              <c:strCache>
                <c:ptCount val="5"/>
                <c:pt idx="0">
                  <c:v>Alagoas</c:v>
                </c:pt>
                <c:pt idx="1">
                  <c:v>Maranhão</c:v>
                </c:pt>
                <c:pt idx="2">
                  <c:v>Sergipe</c:v>
                </c:pt>
                <c:pt idx="3">
                  <c:v>Piauí</c:v>
                </c:pt>
                <c:pt idx="4">
                  <c:v>Ceará</c:v>
                </c:pt>
              </c:strCache>
            </c:strRef>
          </c:cat>
          <c:val>
            <c:numRef>
              <c:f>'Executive Summary'!$N$5:$N$9</c:f>
              <c:numCache>
                <c:formatCode>General</c:formatCode>
                <c:ptCount val="5"/>
                <c:pt idx="0">
                  <c:v>21089</c:v>
                </c:pt>
                <c:pt idx="1">
                  <c:v>20494</c:v>
                </c:pt>
                <c:pt idx="2">
                  <c:v>6175</c:v>
                </c:pt>
                <c:pt idx="3">
                  <c:v>6958</c:v>
                </c:pt>
                <c:pt idx="4">
                  <c:v>21705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338429664"/>
        <c:axId val="483940200"/>
      </c:barChart>
      <c:catAx>
        <c:axId val="338429664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Region</a:t>
                </a:r>
              </a:p>
            </c:rich>
          </c:tx>
          <c:layout>
            <c:manualLayout>
              <c:xMode val="edge"/>
              <c:yMode val="edge"/>
              <c:x val="0.41112236111111111"/>
              <c:y val="0.91768518518518516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483940200"/>
        <c:crosses val="autoZero"/>
        <c:auto val="1"/>
        <c:lblAlgn val="ctr"/>
        <c:lblOffset val="100"/>
        <c:noMultiLvlLbl val="1"/>
      </c:catAx>
      <c:valAx>
        <c:axId val="4839402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 sz="1050"/>
                </a:pPr>
                <a:r>
                  <a:rPr lang="en-US" sz="1050"/>
                  <a:t>Annual Saving (Rs.)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3384296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0</xdr:rowOff>
    </xdr:from>
    <xdr:ext cx="7200000" cy="432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workbookViewId="0">
      <pane ySplit="4" topLeftCell="A5" activePane="bottomLeft" state="frozen"/>
      <selection pane="bottomLeft" activeCell="H5" sqref="H5:I9"/>
    </sheetView>
  </sheetViews>
  <sheetFormatPr defaultRowHeight="15" x14ac:dyDescent="0.25"/>
  <cols>
    <col min="1" max="1" width="6" customWidth="1"/>
    <col min="2" max="2" width="17" customWidth="1"/>
    <col min="3" max="3" width="7" customWidth="1"/>
    <col min="4" max="5" width="10" customWidth="1"/>
    <col min="6" max="7" width="15" customWidth="1"/>
    <col min="8" max="9" width="13" customWidth="1"/>
    <col min="10" max="10" width="14" customWidth="1"/>
    <col min="11" max="11" width="11" customWidth="1"/>
    <col min="12" max="12" width="19" customWidth="1"/>
    <col min="13" max="13" width="16" customWidth="1"/>
    <col min="14" max="14" width="17" customWidth="1"/>
  </cols>
  <sheetData>
    <row r="1" spans="1:14" ht="39.950000000000003" customHeight="1" x14ac:dyDescent="0.25">
      <c r="A1" s="46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</row>
    <row r="2" spans="1:14" ht="18" customHeight="1" x14ac:dyDescent="0.25">
      <c r="A2" s="43" t="s">
        <v>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</row>
    <row r="3" spans="1:14" ht="6" customHeight="1" x14ac:dyDescent="0.25"/>
    <row r="4" spans="1:14" ht="38.1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</row>
    <row r="5" spans="1:14" ht="21.95" customHeight="1" x14ac:dyDescent="0.25">
      <c r="A5" s="2">
        <v>1</v>
      </c>
      <c r="B5" s="2" t="s">
        <v>16</v>
      </c>
      <c r="C5" s="3" t="s">
        <v>17</v>
      </c>
      <c r="D5" s="3">
        <v>-9.6417000000000002</v>
      </c>
      <c r="E5" s="3">
        <v>-36.0379</v>
      </c>
      <c r="F5" s="4">
        <v>24.6</v>
      </c>
      <c r="G5" s="5">
        <v>11</v>
      </c>
      <c r="H5" s="6" t="s">
        <v>18</v>
      </c>
      <c r="I5" s="3" t="s">
        <v>19</v>
      </c>
      <c r="J5" s="3">
        <v>396</v>
      </c>
      <c r="K5" s="3">
        <v>16</v>
      </c>
      <c r="L5" s="3">
        <v>2</v>
      </c>
      <c r="M5" s="2">
        <v>1757</v>
      </c>
      <c r="N5" s="7">
        <v>21089</v>
      </c>
    </row>
    <row r="6" spans="1:14" ht="21.95" customHeight="1" x14ac:dyDescent="0.25">
      <c r="A6" s="8">
        <v>2</v>
      </c>
      <c r="B6" s="8" t="s">
        <v>20</v>
      </c>
      <c r="C6" s="9" t="s">
        <v>21</v>
      </c>
      <c r="D6" s="9">
        <v>-3.5733999999999999</v>
      </c>
      <c r="E6" s="9">
        <v>-44.707799999999999</v>
      </c>
      <c r="F6" s="10">
        <v>21.4</v>
      </c>
      <c r="G6" s="11">
        <v>11</v>
      </c>
      <c r="H6" s="12" t="s">
        <v>22</v>
      </c>
      <c r="I6" s="9" t="s">
        <v>23</v>
      </c>
      <c r="J6" s="9">
        <v>714</v>
      </c>
      <c r="K6" s="9">
        <v>30</v>
      </c>
      <c r="L6" s="9">
        <v>3</v>
      </c>
      <c r="M6" s="8">
        <v>1708</v>
      </c>
      <c r="N6" s="13">
        <v>20494</v>
      </c>
    </row>
    <row r="7" spans="1:14" ht="21.95" customHeight="1" x14ac:dyDescent="0.25">
      <c r="A7" s="14">
        <v>3</v>
      </c>
      <c r="B7" s="14" t="s">
        <v>24</v>
      </c>
      <c r="C7" s="15" t="s">
        <v>25</v>
      </c>
      <c r="D7" s="15">
        <v>-10.8728</v>
      </c>
      <c r="E7" s="15">
        <v>-37.174100000000003</v>
      </c>
      <c r="F7" s="16">
        <v>21.5</v>
      </c>
      <c r="G7" s="17">
        <v>11</v>
      </c>
      <c r="H7" s="18" t="s">
        <v>26</v>
      </c>
      <c r="I7" s="15" t="s">
        <v>27</v>
      </c>
      <c r="J7" s="15">
        <v>334</v>
      </c>
      <c r="K7" s="15">
        <v>14</v>
      </c>
      <c r="L7" s="15">
        <v>1</v>
      </c>
      <c r="M7" s="14">
        <v>515</v>
      </c>
      <c r="N7" s="19">
        <v>6175</v>
      </c>
    </row>
    <row r="8" spans="1:14" ht="21.95" customHeight="1" x14ac:dyDescent="0.25">
      <c r="A8" s="20">
        <v>4</v>
      </c>
      <c r="B8" s="20" t="s">
        <v>28</v>
      </c>
      <c r="C8" s="21" t="s">
        <v>29</v>
      </c>
      <c r="D8" s="21">
        <v>-5.5018000000000002</v>
      </c>
      <c r="E8" s="21">
        <v>-42.593600000000002</v>
      </c>
      <c r="F8" s="22">
        <v>19.399999999999999</v>
      </c>
      <c r="G8" s="23">
        <v>11</v>
      </c>
      <c r="H8" s="24" t="s">
        <v>30</v>
      </c>
      <c r="I8" s="21" t="s">
        <v>31</v>
      </c>
      <c r="J8" s="21">
        <v>473</v>
      </c>
      <c r="K8" s="21">
        <v>20</v>
      </c>
      <c r="L8" s="21">
        <v>1</v>
      </c>
      <c r="M8" s="20">
        <v>580</v>
      </c>
      <c r="N8" s="25">
        <v>6958</v>
      </c>
    </row>
    <row r="9" spans="1:14" ht="21.95" customHeight="1" x14ac:dyDescent="0.25">
      <c r="A9" s="26">
        <v>5</v>
      </c>
      <c r="B9" s="26" t="s">
        <v>32</v>
      </c>
      <c r="C9" s="27" t="s">
        <v>33</v>
      </c>
      <c r="D9" s="27">
        <v>-4.3255999999999997</v>
      </c>
      <c r="E9" s="27">
        <v>-38.966099999999997</v>
      </c>
      <c r="F9" s="28">
        <v>21.2</v>
      </c>
      <c r="G9" s="29">
        <v>11</v>
      </c>
      <c r="H9" s="30" t="s">
        <v>34</v>
      </c>
      <c r="I9" s="27" t="s">
        <v>35</v>
      </c>
      <c r="J9" s="27">
        <v>1275</v>
      </c>
      <c r="K9" s="27">
        <v>54</v>
      </c>
      <c r="L9" s="27">
        <v>3</v>
      </c>
      <c r="M9" s="26">
        <v>1809</v>
      </c>
      <c r="N9" s="31">
        <v>21705</v>
      </c>
    </row>
    <row r="10" spans="1:14" ht="26.1" customHeight="1" x14ac:dyDescent="0.25">
      <c r="A10" s="45" t="s">
        <v>36</v>
      </c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32">
        <v>76421</v>
      </c>
    </row>
  </sheetData>
  <mergeCells count="3">
    <mergeCell ref="A2:N2"/>
    <mergeCell ref="A10:M10"/>
    <mergeCell ref="A1:N1"/>
  </mergeCells>
  <pageMargins left="0.75" right="0.75" top="1" bottom="1" header="0.5" footer="0.5"/>
  <ignoredErrors>
    <ignoredError sqref="H5:I9" numberStoredAsText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pane ySplit="4" topLeftCell="A5" activePane="bottomLeft" state="frozen"/>
      <selection pane="bottomLeft" sqref="A1:I1"/>
    </sheetView>
  </sheetViews>
  <sheetFormatPr defaultRowHeight="15" x14ac:dyDescent="0.25"/>
  <cols>
    <col min="1" max="1" width="6" customWidth="1"/>
    <col min="2" max="2" width="18" customWidth="1"/>
    <col min="3" max="3" width="13" customWidth="1"/>
    <col min="4" max="4" width="14" customWidth="1"/>
    <col min="5" max="6" width="13" customWidth="1"/>
    <col min="7" max="8" width="15" customWidth="1"/>
    <col min="9" max="9" width="17" customWidth="1"/>
  </cols>
  <sheetData>
    <row r="1" spans="1:9" ht="38.1" customHeight="1" x14ac:dyDescent="0.25">
      <c r="A1" s="47" t="s">
        <v>37</v>
      </c>
      <c r="B1" s="44"/>
      <c r="C1" s="44"/>
      <c r="D1" s="44"/>
      <c r="E1" s="44"/>
      <c r="F1" s="44"/>
      <c r="G1" s="44"/>
      <c r="H1" s="44"/>
      <c r="I1" s="44"/>
    </row>
    <row r="2" spans="1:9" ht="15.95" customHeight="1" x14ac:dyDescent="0.25">
      <c r="A2" s="48" t="s">
        <v>38</v>
      </c>
      <c r="B2" s="44"/>
      <c r="C2" s="44"/>
      <c r="D2" s="44"/>
      <c r="E2" s="44"/>
      <c r="F2" s="44"/>
      <c r="G2" s="44"/>
      <c r="H2" s="44"/>
      <c r="I2" s="44"/>
    </row>
    <row r="3" spans="1:9" ht="6" customHeight="1" x14ac:dyDescent="0.25"/>
    <row r="4" spans="1:9" ht="32.1" customHeight="1" x14ac:dyDescent="0.25">
      <c r="A4" s="33" t="s">
        <v>2</v>
      </c>
      <c r="B4" s="33" t="s">
        <v>3</v>
      </c>
      <c r="C4" s="33" t="s">
        <v>39</v>
      </c>
      <c r="D4" s="33" t="s">
        <v>40</v>
      </c>
      <c r="E4" s="33" t="s">
        <v>41</v>
      </c>
      <c r="F4" s="33" t="s">
        <v>42</v>
      </c>
      <c r="G4" s="33" t="s">
        <v>43</v>
      </c>
      <c r="H4" s="33" t="s">
        <v>44</v>
      </c>
      <c r="I4" s="33" t="s">
        <v>45</v>
      </c>
    </row>
    <row r="5" spans="1:9" ht="20.100000000000001" customHeight="1" x14ac:dyDescent="0.25">
      <c r="A5" s="34">
        <v>1</v>
      </c>
      <c r="B5" s="34" t="s">
        <v>16</v>
      </c>
      <c r="C5" s="34">
        <v>123</v>
      </c>
      <c r="D5" s="34">
        <v>396</v>
      </c>
      <c r="E5" s="34">
        <v>-9.6417000000000002</v>
      </c>
      <c r="F5" s="34">
        <v>-36.0379</v>
      </c>
      <c r="G5" s="35">
        <v>24.6</v>
      </c>
      <c r="H5" s="36">
        <v>11</v>
      </c>
      <c r="I5" s="34">
        <v>-2.2999999999999998</v>
      </c>
    </row>
    <row r="6" spans="1:9" ht="20.100000000000001" customHeight="1" x14ac:dyDescent="0.25">
      <c r="A6" s="37">
        <v>2</v>
      </c>
      <c r="B6" s="37" t="s">
        <v>20</v>
      </c>
      <c r="C6" s="37">
        <v>190</v>
      </c>
      <c r="D6" s="37">
        <v>714</v>
      </c>
      <c r="E6" s="37">
        <v>-3.5733999999999999</v>
      </c>
      <c r="F6" s="37">
        <v>-44.707799999999999</v>
      </c>
      <c r="G6" s="38">
        <v>21.4</v>
      </c>
      <c r="H6" s="39">
        <v>11</v>
      </c>
      <c r="I6" s="37">
        <v>-3.4</v>
      </c>
    </row>
    <row r="7" spans="1:9" ht="20.100000000000001" customHeight="1" x14ac:dyDescent="0.25">
      <c r="A7" s="34">
        <v>3</v>
      </c>
      <c r="B7" s="34" t="s">
        <v>24</v>
      </c>
      <c r="C7" s="34">
        <v>86</v>
      </c>
      <c r="D7" s="34">
        <v>334</v>
      </c>
      <c r="E7" s="34">
        <v>-10.8728</v>
      </c>
      <c r="F7" s="34">
        <v>-37.174100000000003</v>
      </c>
      <c r="G7" s="35">
        <v>21.5</v>
      </c>
      <c r="H7" s="36">
        <v>11</v>
      </c>
      <c r="I7" s="34">
        <v>-3</v>
      </c>
    </row>
    <row r="8" spans="1:9" ht="20.100000000000001" customHeight="1" x14ac:dyDescent="0.25">
      <c r="A8" s="37">
        <v>4</v>
      </c>
      <c r="B8" s="37" t="s">
        <v>28</v>
      </c>
      <c r="C8" s="37">
        <v>151</v>
      </c>
      <c r="D8" s="37">
        <v>473</v>
      </c>
      <c r="E8" s="37">
        <v>-5.5018000000000002</v>
      </c>
      <c r="F8" s="37">
        <v>-42.593600000000002</v>
      </c>
      <c r="G8" s="38">
        <v>19.399999999999999</v>
      </c>
      <c r="H8" s="39">
        <v>11</v>
      </c>
      <c r="I8" s="37">
        <v>0</v>
      </c>
    </row>
    <row r="9" spans="1:9" ht="20.100000000000001" customHeight="1" x14ac:dyDescent="0.25">
      <c r="A9" s="34">
        <v>5</v>
      </c>
      <c r="B9" s="34" t="s">
        <v>32</v>
      </c>
      <c r="C9" s="34">
        <v>378</v>
      </c>
      <c r="D9" s="34">
        <v>1275</v>
      </c>
      <c r="E9" s="34">
        <v>-4.3255999999999997</v>
      </c>
      <c r="F9" s="34">
        <v>-38.966099999999997</v>
      </c>
      <c r="G9" s="35">
        <v>21.2</v>
      </c>
      <c r="H9" s="36">
        <v>11</v>
      </c>
      <c r="I9" s="34">
        <v>-1.8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abSelected="1" workbookViewId="0">
      <pane ySplit="9" topLeftCell="A10" activePane="bottomLeft" state="frozen"/>
      <selection pane="bottomLeft" sqref="A1:H1"/>
    </sheetView>
  </sheetViews>
  <sheetFormatPr defaultRowHeight="15" x14ac:dyDescent="0.25"/>
  <cols>
    <col min="1" max="1" width="17.5703125" customWidth="1"/>
    <col min="2" max="2" width="17" customWidth="1"/>
    <col min="3" max="3" width="14" customWidth="1"/>
    <col min="4" max="4" width="12" customWidth="1"/>
    <col min="5" max="6" width="14" customWidth="1"/>
    <col min="7" max="7" width="16" customWidth="1"/>
    <col min="8" max="8" width="17" customWidth="1"/>
  </cols>
  <sheetData>
    <row r="1" spans="1:8" ht="38.1" customHeight="1" x14ac:dyDescent="0.25">
      <c r="A1" s="47" t="s">
        <v>46</v>
      </c>
      <c r="B1" s="44"/>
      <c r="C1" s="44"/>
      <c r="D1" s="44"/>
      <c r="E1" s="44"/>
      <c r="F1" s="44"/>
      <c r="G1" s="44"/>
      <c r="H1" s="44"/>
    </row>
    <row r="3" spans="1:8" ht="18" customHeight="1" x14ac:dyDescent="0.25">
      <c r="A3" s="40" t="s">
        <v>47</v>
      </c>
      <c r="B3" s="49" t="s">
        <v>48</v>
      </c>
      <c r="C3" s="44"/>
      <c r="D3" s="44"/>
      <c r="E3" s="44"/>
      <c r="F3" s="44"/>
      <c r="G3" s="44"/>
      <c r="H3" s="44"/>
    </row>
    <row r="4" spans="1:8" ht="18" customHeight="1" x14ac:dyDescent="0.25">
      <c r="A4" s="40" t="s">
        <v>49</v>
      </c>
      <c r="B4" s="49" t="s">
        <v>50</v>
      </c>
      <c r="C4" s="44"/>
      <c r="D4" s="44"/>
      <c r="E4" s="44"/>
      <c r="F4" s="44"/>
      <c r="G4" s="44"/>
      <c r="H4" s="44"/>
    </row>
    <row r="5" spans="1:8" ht="18" customHeight="1" x14ac:dyDescent="0.25">
      <c r="A5" s="40" t="s">
        <v>51</v>
      </c>
      <c r="B5" s="49" t="s">
        <v>52</v>
      </c>
      <c r="C5" s="44"/>
      <c r="D5" s="44"/>
      <c r="E5" s="44"/>
      <c r="F5" s="44"/>
      <c r="G5" s="44"/>
      <c r="H5" s="44"/>
    </row>
    <row r="6" spans="1:8" ht="18" customHeight="1" x14ac:dyDescent="0.25">
      <c r="A6" s="40" t="s">
        <v>53</v>
      </c>
      <c r="B6" s="49" t="s">
        <v>54</v>
      </c>
      <c r="C6" s="44"/>
      <c r="D6" s="44"/>
      <c r="E6" s="44"/>
      <c r="F6" s="44"/>
      <c r="G6" s="44"/>
      <c r="H6" s="44"/>
    </row>
    <row r="7" spans="1:8" ht="18" customHeight="1" x14ac:dyDescent="0.25">
      <c r="A7" s="40" t="s">
        <v>55</v>
      </c>
      <c r="B7" s="49" t="s">
        <v>56</v>
      </c>
      <c r="C7" s="44"/>
      <c r="D7" s="44"/>
      <c r="E7" s="44"/>
      <c r="F7" s="44"/>
      <c r="G7" s="44"/>
      <c r="H7" s="44"/>
    </row>
    <row r="9" spans="1:8" ht="32.1" customHeight="1" x14ac:dyDescent="0.25">
      <c r="A9" s="33" t="s">
        <v>2</v>
      </c>
      <c r="B9" s="33" t="s">
        <v>3</v>
      </c>
      <c r="C9" s="33" t="s">
        <v>11</v>
      </c>
      <c r="D9" s="33" t="s">
        <v>12</v>
      </c>
      <c r="E9" s="33" t="s">
        <v>57</v>
      </c>
      <c r="F9" s="33" t="s">
        <v>58</v>
      </c>
      <c r="G9" s="33" t="s">
        <v>59</v>
      </c>
      <c r="H9" s="33" t="s">
        <v>60</v>
      </c>
    </row>
    <row r="10" spans="1:8" ht="20.100000000000001" customHeight="1" x14ac:dyDescent="0.25">
      <c r="A10" s="37">
        <v>1</v>
      </c>
      <c r="B10" s="37" t="s">
        <v>16</v>
      </c>
      <c r="C10" s="37">
        <v>396</v>
      </c>
      <c r="D10" s="37">
        <v>16</v>
      </c>
      <c r="E10" s="37">
        <v>4</v>
      </c>
      <c r="F10" s="37">
        <v>1</v>
      </c>
      <c r="G10" s="37">
        <v>2</v>
      </c>
      <c r="H10" s="41">
        <v>21089</v>
      </c>
    </row>
    <row r="11" spans="1:8" ht="20.100000000000001" customHeight="1" x14ac:dyDescent="0.25">
      <c r="A11" s="34">
        <v>2</v>
      </c>
      <c r="B11" s="34" t="s">
        <v>20</v>
      </c>
      <c r="C11" s="34">
        <v>714</v>
      </c>
      <c r="D11" s="34">
        <v>30</v>
      </c>
      <c r="E11" s="34">
        <v>5</v>
      </c>
      <c r="F11" s="34">
        <v>2</v>
      </c>
      <c r="G11" s="34">
        <v>3</v>
      </c>
      <c r="H11" s="42">
        <v>20494</v>
      </c>
    </row>
    <row r="12" spans="1:8" ht="20.100000000000001" customHeight="1" x14ac:dyDescent="0.25">
      <c r="A12" s="37">
        <v>3</v>
      </c>
      <c r="B12" s="37" t="s">
        <v>24</v>
      </c>
      <c r="C12" s="37">
        <v>334</v>
      </c>
      <c r="D12" s="37">
        <v>14</v>
      </c>
      <c r="E12" s="37">
        <v>2</v>
      </c>
      <c r="F12" s="37">
        <v>1</v>
      </c>
      <c r="G12" s="37">
        <v>1</v>
      </c>
      <c r="H12" s="41">
        <v>6175</v>
      </c>
    </row>
    <row r="13" spans="1:8" ht="20.100000000000001" customHeight="1" x14ac:dyDescent="0.25">
      <c r="A13" s="34">
        <v>4</v>
      </c>
      <c r="B13" s="34" t="s">
        <v>28</v>
      </c>
      <c r="C13" s="34">
        <v>473</v>
      </c>
      <c r="D13" s="34">
        <v>20</v>
      </c>
      <c r="E13" s="34">
        <v>3</v>
      </c>
      <c r="F13" s="34">
        <v>1</v>
      </c>
      <c r="G13" s="34">
        <v>1</v>
      </c>
      <c r="H13" s="42">
        <v>6958</v>
      </c>
    </row>
    <row r="14" spans="1:8" ht="20.100000000000001" customHeight="1" x14ac:dyDescent="0.25">
      <c r="A14" s="37">
        <v>5</v>
      </c>
      <c r="B14" s="37" t="s">
        <v>32</v>
      </c>
      <c r="C14" s="37">
        <v>1275</v>
      </c>
      <c r="D14" s="37">
        <v>54</v>
      </c>
      <c r="E14" s="37">
        <v>8</v>
      </c>
      <c r="F14" s="37">
        <v>4</v>
      </c>
      <c r="G14" s="37">
        <v>3</v>
      </c>
      <c r="H14" s="41">
        <v>21705</v>
      </c>
    </row>
    <row r="15" spans="1:8" ht="24" customHeight="1" x14ac:dyDescent="0.25">
      <c r="A15" s="45" t="s">
        <v>61</v>
      </c>
      <c r="B15" s="44"/>
      <c r="C15" s="44"/>
      <c r="D15" s="44"/>
      <c r="E15" s="44"/>
      <c r="F15" s="44"/>
      <c r="G15" s="44"/>
      <c r="H15" s="32">
        <v>76421</v>
      </c>
    </row>
  </sheetData>
  <mergeCells count="7">
    <mergeCell ref="B4:H4"/>
    <mergeCell ref="B6:H6"/>
    <mergeCell ref="A15:G15"/>
    <mergeCell ref="B7:H7"/>
    <mergeCell ref="A1:H1"/>
    <mergeCell ref="B3:H3"/>
    <mergeCell ref="B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CoG Model Detail</vt:lpstr>
      <vt:lpstr>Cost Saving Model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2026-05-18T14:54:35Z</dcterms:created>
  <dcterms:modified xsi:type="dcterms:W3CDTF">2026-05-18T15:04:03Z</dcterms:modified>
</cp:coreProperties>
</file>